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c620f3f5c449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mpanas simuladas" sheetId="1" r:id="R0297176c287d46f8"/>
    <x:sheet xmlns:r="http://schemas.openxmlformats.org/officeDocument/2006/relationships" name="Tendencias simuladas" sheetId="2" r:id="Re995f4e6189e4a4c"/>
    <x:sheet xmlns:r="http://schemas.openxmlformats.org/officeDocument/2006/relationships" name="Supuestos y KPIs" sheetId="3" r:id="Ra1f142b52e32492b"/>
    <x:sheet xmlns:r="http://schemas.openxmlformats.org/officeDocument/2006/relationships" name="Filtros propuestos" sheetId="4" r:id="Rb56e56b5c5fa44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.00%"/>
    <x:numFmt numFmtId="201" formatCode="0.00"/>
    <x:numFmt numFmtId="202" formatCode="&quot;S/ &quot; #,##0"/>
    <x:numFmt numFmtId="203" formatCode="0.0%"/>
    <x:numFmt numFmtId="204" formatCode="&quot;S/ &quot; #,##0.00"/>
    <x:numFmt numFmtId="205" formatCode="0.00&quot;x&quot;"/>
    <x:numFmt numFmtId="206" formatCode="0%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5395F"/>
      </x:patternFill>
    </x:fill>
    <x:fill>
      <x:patternFill patternType="solid">
        <x:fgColor rgb="FFE4F0F8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202" fontId="0" fillId="3" borderId="0" xfId="0" applyNumberFormat="1" applyFont="1" applyFill="1" applyBorder="1"/>
    <x:xf numFmtId="200" fontId="0" fillId="3" borderId="0" xfId="0" applyNumberFormat="1" applyFont="1" applyFill="1" applyBorder="1"/>
    <x:xf numFmtId="201" fontId="0" fillId="3" borderId="0" xfId="0" applyNumberFormat="1" applyFont="1" applyFill="1" applyBorder="1"/>
    <x:xf numFmtId="0" fontId="2" fillId="3" borderId="0" xfId="0" applyNumberFormat="1" applyFont="1" applyFill="1" applyBorder="1"/>
    <x:xf numFmtId="202" fontId="2" fillId="3" borderId="0" xfId="0" applyNumberFormat="1" applyFont="1" applyFill="1" applyBorder="1"/>
    <x:xf numFmtId="200" fontId="2" fillId="3" borderId="0" xfId="0" applyNumberFormat="1" applyFont="1" applyFill="1" applyBorder="1"/>
    <x:xf numFmtId="201" fontId="2" fillId="3" borderId="0" xfId="0" applyNumberFormat="1" applyFont="1" applyFill="1" applyBorder="1"/>
    <x:xf numFmtId="0" fontId="0" fillId="3" borderId="1" xfId="0" applyNumberFormat="1" applyFont="1" applyFill="1" applyBorder="1"/>
    <x:xf numFmtId="202" fontId="0" fillId="3" borderId="1" xfId="0" applyNumberFormat="1" applyFont="1" applyFill="1" applyBorder="1"/>
    <x:xf numFmtId="200" fontId="0" fillId="3" borderId="1" xfId="0" applyNumberFormat="1" applyFont="1" applyFill="1" applyBorder="1"/>
    <x:xf numFmtId="201" fontId="0" fillId="3" borderId="1" xfId="0" applyNumberFormat="1" applyFont="1" applyFill="1" applyBorder="1"/>
    <x:xf numFmtId="0" fontId="2" fillId="3" borderId="1" xfId="0" applyNumberFormat="1" applyFont="1" applyFill="1" applyBorder="1"/>
    <x:xf numFmtId="202" fontId="2" fillId="3" borderId="1" xfId="0" applyNumberFormat="1" applyFont="1" applyFill="1" applyBorder="1"/>
    <x:xf numFmtId="200" fontId="2" fillId="3" borderId="1" xfId="0" applyNumberFormat="1" applyFont="1" applyFill="1" applyBorder="1"/>
    <x:xf numFmtId="201" fontId="2" fillId="3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206" fontId="0" fillId="0" borderId="0" xfId="0" applyNumberFormat="1" applyFont="1" applyFill="1" applyBorder="1"/>
    <x:xf numFmtId="206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6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6" fontId="0" fillId="0" borderId="1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1232f5bee7447c" /><Relationship Type="http://schemas.openxmlformats.org/officeDocument/2006/relationships/theme" Target="/xl/theme/theme1.xml" Id="Rcd9c876fd5334f11" /><Relationship Type="http://schemas.openxmlformats.org/officeDocument/2006/relationships/sharedStrings" Target="/xl/sharedStrings.xml" Id="Rf83994fc10584f16" /><Relationship Type="http://schemas.openxmlformats.org/officeDocument/2006/relationships/worksheet" Target="/xl/worksheets/sheet1.xml" Id="R0297176c287d46f8" /><Relationship Type="http://schemas.openxmlformats.org/officeDocument/2006/relationships/worksheet" Target="/xl/worksheets/sheet2.xml" Id="Re995f4e6189e4a4c" /><Relationship Type="http://schemas.openxmlformats.org/officeDocument/2006/relationships/worksheet" Target="/xl/worksheets/sheet3.xml" Id="Ra1f142b52e32492b" /><Relationship Type="http://schemas.openxmlformats.org/officeDocument/2006/relationships/worksheet" Target="/xl/worksheets/sheet4.xml" Id="Rb56e56b5c5fa44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34" customHeight="1">
      <x:c r="A1" s="10" t="str">
        <x:v>Campaña</x:v>
      </x:c>
      <x:c r="B1" s="10" t="str">
        <x:v>Inversión S/</x:v>
      </x:c>
      <x:c r="C1" s="10" t="str">
        <x:v>Impresiones</x:v>
      </x:c>
      <x:c r="D1" s="10" t="str">
        <x:v>Clics</x:v>
      </x:c>
      <x:c r="E1" s="10" t="str">
        <x:v>Leads</x:v>
      </x:c>
      <x:c r="F1" s="10" t="str">
        <x:v>Demos</x:v>
      </x:c>
      <x:c r="G1" s="10" t="str">
        <x:v>Clientes</x:v>
      </x:c>
      <x:c r="H1" s="10" t="str">
        <x:v>Ingresos S/</x:v>
      </x:c>
      <x:c r="I1" s="10" t="str">
        <x:v>CTR</x:v>
      </x:c>
      <x:c r="J1" s="10" t="str">
        <x:v>CPC S/</x:v>
      </x:c>
      <x:c r="K1" s="10" t="str">
        <x:v>CPL S/</x:v>
      </x:c>
      <x:c r="L1" s="10" t="str">
        <x:v>ROAS</x:v>
      </x:c>
    </x:row>
    <x:row r="2">
      <x:c r="A2" t="str">
        <x:v>Search ERP</x:v>
      </x:c>
      <x:c r="B2" s="6" t="n">
        <x:v>1200</x:v>
      </x:c>
      <x:c r="C2" t="n">
        <x:v>18000</x:v>
      </x:c>
      <x:c r="D2" t="n">
        <x:v>720</x:v>
      </x:c>
      <x:c r="E2" t="n">
        <x:v>30</x:v>
      </x:c>
      <x:c r="F2" t="n">
        <x:v>15</x:v>
      </x:c>
      <x:c r="G2" t="n">
        <x:v>4</x:v>
      </x:c>
      <x:c r="H2" s="6" t="n">
        <x:v>8000</x:v>
      </x:c>
      <x:c r="I2" s="2" t="n">
        <x:f>IFERROR(D2/C2,0)</x:f>
        <x:v>0.04</x:v>
      </x:c>
      <x:c r="J2" s="4" t="n">
        <x:f>IFERROR(B2/D2,0)</x:f>
        <x:v>1.6666666666666667</x:v>
      </x:c>
      <x:c r="K2" s="4" t="n">
        <x:f>IFERROR(B2/E2,0)</x:f>
        <x:v>40</x:v>
      </x:c>
      <x:c r="L2" s="4" t="n">
        <x:f>IFERROR(H2/B2,0)</x:f>
        <x:v>6.666666666666667</x:v>
      </x:c>
    </x:row>
    <x:row r="3">
      <x:c r="A3" t="str">
        <x:v>YouTube ERP</x:v>
      </x:c>
      <x:c r="B3" s="6" t="n">
        <x:v>800</x:v>
      </x:c>
      <x:c r="C3" t="n">
        <x:v>40000</x:v>
      </x:c>
      <x:c r="D3" t="n">
        <x:v>320</x:v>
      </x:c>
      <x:c r="E3" t="n">
        <x:v>10</x:v>
      </x:c>
      <x:c r="F3" t="n">
        <x:v>5</x:v>
      </x:c>
      <x:c r="G3" t="n">
        <x:v>1</x:v>
      </x:c>
      <x:c r="H3" s="6" t="n">
        <x:v>2000</x:v>
      </x:c>
      <x:c r="I3" s="2" t="n">
        <x:f>IFERROR(D3/C3,0)</x:f>
        <x:v>0.008</x:v>
      </x:c>
      <x:c r="J3" s="4" t="n">
        <x:f>IFERROR(B3/D3,0)</x:f>
        <x:v>2.5</x:v>
      </x:c>
      <x:c r="K3" s="4" t="n">
        <x:f>IFERROR(B3/E3,0)</x:f>
        <x:v>80</x:v>
      </x:c>
      <x:c r="L3" s="4" t="n">
        <x:f>IFERROR(H3/B3,0)</x:f>
        <x:v>2.5</x:v>
      </x:c>
    </x:row>
    <x:row r="4">
      <x:c r="A4" s="18" t="str">
        <x:v>TOTAL SIMULADO</x:v>
      </x:c>
      <x:c r="B4" s="19" t="n">
        <x:f>SUM(B2:B3)</x:f>
        <x:v>2000</x:v>
      </x:c>
      <x:c r="C4" s="18" t="n">
        <x:f>SUM(C2:C3)</x:f>
        <x:v>58000</x:v>
      </x:c>
      <x:c r="D4" s="18" t="n">
        <x:f>SUM(D2:D3)</x:f>
        <x:v>1040</x:v>
      </x:c>
      <x:c r="E4" s="18" t="n">
        <x:f>SUM(E2:E3)</x:f>
        <x:v>40</x:v>
      </x:c>
      <x:c r="F4" s="18" t="n">
        <x:f>SUM(F2:F3)</x:f>
        <x:v>20</x:v>
      </x:c>
      <x:c r="G4" s="18" t="n">
        <x:f>SUM(G2:G3)</x:f>
        <x:v>5</x:v>
      </x:c>
      <x:c r="H4" s="19" t="n">
        <x:f>SUM(H2:H3)</x:f>
        <x:v>10000</x:v>
      </x:c>
      <x:c r="I4" s="20" t="n">
        <x:f>IFERROR(D4/C4,0)</x:f>
        <x:v>0.01793103448275862</x:v>
      </x:c>
      <x:c r="J4" s="21" t="n">
        <x:f>IFERROR(B4/D4,0)</x:f>
        <x:v>1.9230769230769231</x:v>
      </x:c>
      <x:c r="K4" s="21" t="n">
        <x:f>IFERROR(B4/E4,0)</x:f>
        <x:v>50</x:v>
      </x:c>
      <x:c r="L4" s="21" t="n">
        <x:f>IFERROR(H4/B4,0)</x:f>
        <x:v>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30" customHeight="1">
      <x:c r="A1" s="9" t="str">
        <x:v>Periodo</x:v>
      </x:c>
      <x:c r="B1" s="9" t="str">
        <x:v>Inversión S/</x:v>
      </x:c>
      <x:c r="C1" s="9" t="str">
        <x:v>Ingresos S/</x:v>
      </x:c>
      <x:c r="D1" s="9" t="str">
        <x:v>Leads</x:v>
      </x:c>
      <x:c r="E1" s="9" t="str">
        <x:v>ROAS</x:v>
      </x:c>
      <x:c r="F1" s="9" t="str">
        <x:v>Variación ROAS</x:v>
      </x:c>
    </x:row>
    <x:row r="2">
      <x:c r="A2" t="str">
        <x:v>Mes anterior</x:v>
      </x:c>
      <x:c r="B2" s="32" t="n">
        <x:v>2000</x:v>
      </x:c>
      <x:c r="C2" s="32" t="n">
        <x:v>11764.705882352942</x:v>
      </x:c>
      <x:c r="D2" t="n">
        <x:v>44</x:v>
      </x:c>
      <x:c r="E2" s="34" t="n">
        <x:f>IFERROR(C2/B2,0)</x:f>
        <x:v>5.882352941176471</x:v>
      </x:c>
    </x:row>
    <x:row r="3">
      <x:c r="A3" t="str">
        <x:v>Mes actual</x:v>
      </x:c>
      <x:c r="B3" s="32" t="n">
        <x:v>2000</x:v>
      </x:c>
      <x:c r="C3" s="32" t="n">
        <x:v>10000</x:v>
      </x:c>
      <x:c r="D3" t="n">
        <x:v>40</x:v>
      </x:c>
      <x:c r="E3" s="34" t="n">
        <x:f>IFERROR(C3/B3,0)</x:f>
        <x:v>5</x:v>
      </x:c>
      <x:c r="F3" s="30" t="n">
        <x:f>IFERROR(E3/E2-1,0)</x:f>
        <x:v>-0.15000000000000002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58" hidden="0" customWidth="1"/>
    <x:col min="3" max="3" width="75" hidden="0" customWidth="1"/>
  </x:cols>
  <x:sheetData>
    <x:row r="1" ht="30" customHeight="1">
      <x:c r="A1" s="9" t="str">
        <x:v>Concepto</x:v>
      </x:c>
      <x:c r="B1" s="9" t="str">
        <x:v>Valor / fórmula</x:v>
      </x:c>
      <x:c r="C1" s="9" t="str">
        <x:v>Interpretación</x:v>
      </x:c>
    </x:row>
    <x:row r="2" ht="34" customHeight="1">
      <x:c r="A2" s="38" t="str">
        <x:v>Margen de contribución</x:v>
      </x:c>
      <x:c r="B2" s="39" t="n">
        <x:v>0.6</x:v>
      </x:c>
      <x:c r="C2" s="38" t="str">
        <x:v>SUPUESTO: ingresos menos costos variables, antes de publicidad.</x:v>
      </x:c>
    </x:row>
    <x:row r="3" ht="34" customHeight="1">
      <x:c r="A3" s="38" t="str">
        <x:v>Costo variable supuesto</x:v>
      </x:c>
      <x:c r="B3" s="39" t="n">
        <x:v>0.4</x:v>
      </x:c>
      <x:c r="C3" s="38" t="str">
        <x:v>40% de los ingresos. No incluye gastos fijos ni impuestos.</x:v>
      </x:c>
    </x:row>
    <x:row r="4" ht="34" customHeight="1">
      <x:c r="A4" s="38" t="str">
        <x:v>Periodo de ingresos</x:v>
      </x:c>
      <x:c r="B4" s="38" t="str">
        <x:v>Un periodo de evaluación idéntico al del gasto</x:v>
      </x:c>
      <x:c r="C4" s="38" t="str">
        <x:v>Ingresos ficticios atribuidos a contrataciones, no a leads.</x:v>
      </x:c>
    </x:row>
    <x:row r="5" ht="34" customHeight="1">
      <x:c r="A5" s="38" t="str">
        <x:v>ROAS</x:v>
      </x:c>
      <x:c r="B5" s="38" t="n">
        <x:f>SUM('Campanas simuladas'!H2:H3)/SUM('Campanas simuladas'!B2:B3)</x:f>
        <x:v>5</x:v>
      </x:c>
      <x:c r="C5" s="38" t="str">
        <x:v>Ingresos atribuidos / inversión publicitaria.</x:v>
      </x:c>
    </x:row>
    <x:row r="6" ht="34" customHeight="1">
      <x:c r="A6" s="38" t="str">
        <x:v>ROI estimado</x:v>
      </x:c>
      <x:c r="B6" s="39" t="n">
        <x:f>(SUM('Campanas simuladas'!H2:H3)*B2-SUM('Campanas simuladas'!B2:B3))/SUM('Campanas simuladas'!B2:B3)</x:f>
        <x:v>2</x:v>
      </x:c>
      <x:c r="C6" s="38" t="str">
        <x:v>Contribución después de publicidad / gasto publicitario.</x:v>
      </x:c>
    </x:row>
    <x:row r="7" ht="34" customHeight="1">
      <x:c r="A7" s="38" t="str">
        <x:v>CPL</x:v>
      </x:c>
      <x:c r="B7" s="38" t="n">
        <x:f>SUM('Campanas simuladas'!B2:B3)/SUM('Campanas simuladas'!E2:E3)</x:f>
        <x:v>50</x:v>
      </x:c>
      <x:c r="C7" s="38" t="str">
        <x:v>Inversión / leads.</x:v>
      </x:c>
    </x:row>
    <x:row r="8" ht="34" customHeight="1">
      <x:c r="A8" s="38" t="str">
        <x:v>Lead a cliente</x:v>
      </x:c>
      <x:c r="B8" s="40" t="n">
        <x:f>SUM('Campanas simuladas'!G2:G3)/SUM('Campanas simuladas'!E2:E3)</x:f>
        <x:v>0.125</x:v>
      </x:c>
      <x:c r="C8" s="38" t="str">
        <x:v>Contrataciones / leads.</x:v>
      </x:c>
    </x:row>
    <x:row r="9" ht="34" customHeight="1">
      <x:c r="A9" s="38" t="str">
        <x:v>Estado</x:v>
      </x:c>
      <x:c r="B9" s="38" t="str">
        <x:v>DATOS 100% FICTICIOS</x:v>
      </x:c>
      <x:c r="C9" s="38" t="str">
        <x:v>No existen campañas activas; no hay conexión real a Google Ads ni CRM.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34" hidden="0" customWidth="1"/>
    <x:col min="4" max="4" width="34" hidden="0" customWidth="1"/>
  </x:cols>
  <x:sheetData>
    <x:row r="1">
      <x:c r="A1" s="9" t="str">
        <x:v>Filtro</x:v>
      </x:c>
      <x:c r="B1" s="9" t="str">
        <x:v>Ubicación</x:v>
      </x:c>
      <x:c r="C1" s="9" t="str">
        <x:v>Para qué sirve</x:v>
      </x:c>
      <x:c r="D1" s="9" t="str">
        <x:v>Disponibilidad de datos</x:v>
      </x:c>
    </x:row>
    <x:row r="2" ht="38" customHeight="1">
      <x:c r="A2" s="38" t="str">
        <x:v>Periodo</x:v>
      </x:c>
      <x:c r="B2" s="38" t="str">
        <x:v>Global</x:v>
      </x:c>
      <x:c r="C2" s="38" t="str">
        <x:v>Comparar mes actual vs anterior</x:v>
      </x:c>
      <x:c r="D2" s="38" t="str">
        <x:v>Sí, en hoja Tendencias</x:v>
      </x:c>
    </x:row>
    <x:row r="3" ht="38" customHeight="1">
      <x:c r="A3" s="38" t="str">
        <x:v>Campaña / canal</x:v>
      </x:c>
      <x:c r="B3" s="38" t="str">
        <x:v>Global</x:v>
      </x:c>
      <x:c r="C3" s="38" t="str">
        <x:v>Comparar Search y YouTube</x:v>
      </x:c>
      <x:c r="D3" s="38" t="str">
        <x:v>Sí, en hoja Campañas</x:v>
      </x:c>
    </x:row>
    <x:row r="4" ht="38" customHeight="1">
      <x:c r="A4" s="38" t="str">
        <x:v>Dispositivo</x:v>
      </x:c>
      <x:c r="B4" s="38" t="str">
        <x:v>Diagnóstico</x:v>
      </x:c>
      <x:c r="C4" s="38" t="str">
        <x:v>Encontrar diferencias de CPL/ROAS</x:v>
      </x:c>
      <x:c r="D4" s="38" t="str">
        <x:v>No desglosado: requiere fuente futura</x:v>
      </x:c>
    </x:row>
    <x:row r="5" ht="38" customHeight="1">
      <x:c r="A5" s="38" t="str">
        <x:v>Ubicación geográfica</x:v>
      </x:c>
      <x:c r="B5" s="38" t="str">
        <x:v>Diagnóstico</x:v>
      </x:c>
      <x:c r="C5" s="38" t="str">
        <x:v>Priorizar regiones de captación</x:v>
      </x:c>
      <x:c r="D5" s="38" t="str">
        <x:v>No desglosado: requiere fuente futura</x:v>
      </x:c>
    </x:row>
  </x:sheetData>
  <x:pageMargins left="0.7" right="0.7" top="0.75" bottom="0.75" header="0.3" footer="0.3"/>
</x:worksheet>
</file>